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PC_2\Documents\Master Degree Thesis\Document 26.09.01\"/>
    </mc:Choice>
  </mc:AlternateContent>
  <xr:revisionPtr revIDLastSave="0" documentId="13_ncr:1_{3BBE63EF-2688-4CB1-BD6F-7A68F9E9B3F9}" xr6:coauthVersionLast="47" xr6:coauthVersionMax="47" xr10:uidLastSave="{00000000-0000-0000-0000-000000000000}"/>
  <bookViews>
    <workbookView xWindow="792" yWindow="1020" windowWidth="12468" windowHeight="8988" activeTab="1" xr2:uid="{62B0BBA2-F51D-406A-B0A4-2D1F2757D296}"/>
  </bookViews>
  <sheets>
    <sheet name="왕복 거리 환산1" sheetId="1" r:id="rId1"/>
    <sheet name="왕복 거리 환산 (온세미)" sheetId="3" r:id="rId2"/>
    <sheet name="물질별 음파 속도, 임피던스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 s="1"/>
  <c r="I2" i="3"/>
  <c r="I3" i="3" s="1"/>
  <c r="H2" i="3"/>
  <c r="H3" i="3" s="1"/>
  <c r="G2" i="3"/>
  <c r="G3" i="3" s="1"/>
  <c r="F2" i="3"/>
  <c r="F3" i="3" s="1"/>
  <c r="E2" i="3"/>
  <c r="E3" i="3" s="1"/>
  <c r="D2" i="3"/>
  <c r="D3" i="3" s="1"/>
  <c r="C2" i="3"/>
  <c r="C3" i="3" s="1"/>
  <c r="B2" i="3"/>
  <c r="B3" i="3" s="1"/>
  <c r="D3" i="1"/>
  <c r="E3" i="1"/>
  <c r="F3" i="1"/>
  <c r="G3" i="1"/>
  <c r="H3" i="1"/>
  <c r="I3" i="1"/>
  <c r="J3" i="1"/>
  <c r="B3" i="1"/>
  <c r="C2" i="1"/>
  <c r="C3" i="1" s="1"/>
  <c r="D2" i="1"/>
  <c r="E2" i="1"/>
  <c r="F2" i="1"/>
  <c r="G2" i="1"/>
  <c r="H2" i="1"/>
  <c r="I2" i="1"/>
  <c r="J2" i="1"/>
  <c r="B2" i="1"/>
</calcChain>
</file>

<file path=xl/sharedStrings.xml><?xml version="1.0" encoding="utf-8"?>
<sst xmlns="http://schemas.openxmlformats.org/spreadsheetml/2006/main" count="41" uniqueCount="38">
  <si>
    <t>거리</t>
    <phoneticPr fontId="1" type="noConversion"/>
  </si>
  <si>
    <t>딜레이라인 18000 차</t>
    <phoneticPr fontId="1" type="noConversion"/>
  </si>
  <si>
    <t>거리 환산 : 1501 m/sec</t>
    <phoneticPr fontId="1" type="noConversion"/>
  </si>
  <si>
    <t>소재 구분</t>
  </si>
  <si>
    <t>대표 물질</t>
  </si>
  <si>
    <t>밀도 ρ (g/cm3)</t>
  </si>
  <si>
    <t>종파 음속 v (m/s)</t>
  </si>
  <si>
    <t>음향 임피던스 Z (MRayl)</t>
  </si>
  <si>
    <t>구리 (Copper)</t>
  </si>
  <si>
    <t>Leadframe, DCB Copper</t>
  </si>
  <si>
    <t>~8.9</t>
  </si>
  <si>
    <t>~4,700</t>
  </si>
  <si>
    <t>~41.8</t>
  </si>
  <si>
    <t>세라믹 (Ceramic)</t>
  </si>
  <si>
    <t>~3.3 – 3.9</t>
  </si>
  <si>
    <t>~8,700 – 10,500</t>
  </si>
  <si>
    <t>~30.0 – 35.0</t>
  </si>
  <si>
    <t>몰드 (EMC)</t>
  </si>
  <si>
    <t>Epoxy Molding Compound</t>
  </si>
  <si>
    <t>~1.8 – 2.0</t>
  </si>
  <si>
    <t>~2,500 – 3,200</t>
  </si>
  <si>
    <t>~4.5 – 6.4</t>
  </si>
  <si>
    <t>스페이서 (Spacer)</t>
  </si>
  <si>
    <t>Copper / Mo / Cu-Moly</t>
  </si>
  <si>
    <t>~8.9 – 10.2</t>
  </si>
  <si>
    <t>~4,700 – 5,100</t>
  </si>
  <si>
    <t>~41.8 – 52.0</t>
  </si>
  <si>
    <t>칩 (Chip)</t>
  </si>
  <si>
    <t>SiC (탄화규소) / Si</t>
  </si>
  <si>
    <t>~2.3 – 3.2</t>
  </si>
  <si>
    <t>~8,400 – 11,800</t>
  </si>
  <si>
    <t>~19.6 – 37.8</t>
  </si>
  <si>
    <r>
      <t>AlN (</t>
    </r>
    <r>
      <rPr>
        <sz val="11"/>
        <color rgb="FF1F1F1F"/>
        <rFont val="맑은 고딕"/>
        <family val="3"/>
        <charset val="129"/>
      </rPr>
      <t>질화알루미늄</t>
    </r>
    <r>
      <rPr>
        <sz val="11"/>
        <color rgb="FF1F1F1F"/>
        <rFont val="Arial"/>
        <family val="2"/>
      </rPr>
      <t xml:space="preserve">) </t>
    </r>
    <phoneticPr fontId="1" type="noConversion"/>
  </si>
  <si>
    <t>솔더 (Solder)</t>
  </si>
  <si>
    <t>SAC305 (Sn-Ag-Cu) / High-Pb Solder</t>
  </si>
  <si>
    <t>~7.4 – 9.5</t>
  </si>
  <si>
    <t>~3,300 – 3,800</t>
  </si>
  <si>
    <t>~25.0 – 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</si>
</sst>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BFDD-1936-45A7-9B04-F51E64107724}">
  <dimension ref="A1:J3"/>
  <sheetViews>
    <sheetView workbookViewId="0">
      <selection activeCell="D11" sqref="D11"/>
    </sheetView>
  </sheetViews>
  <sheetFormatPr defaultRowHeight="17.399999999999999" x14ac:dyDescent="0.4"/>
  <cols>
    <col min="1" max="1" width="22.19921875" customWidth="1"/>
    <col min="2" max="2" width="19.69921875" customWidth="1"/>
    <col min="3" max="3" width="16.69921875" customWidth="1"/>
    <col min="4" max="4" width="19.796875" customWidth="1"/>
    <col min="5" max="5" width="19.19921875" customWidth="1"/>
  </cols>
  <sheetData>
    <row r="1" spans="1:10" x14ac:dyDescent="0.4">
      <c r="A1" t="s">
        <v>0</v>
      </c>
      <c r="B1">
        <v>30000</v>
      </c>
      <c r="C1">
        <v>31000</v>
      </c>
      <c r="D1">
        <v>32000</v>
      </c>
      <c r="E1">
        <v>32900</v>
      </c>
      <c r="F1">
        <v>33900</v>
      </c>
      <c r="G1">
        <v>34200</v>
      </c>
      <c r="H1">
        <v>35200</v>
      </c>
      <c r="I1">
        <v>36000</v>
      </c>
      <c r="J1">
        <v>36700</v>
      </c>
    </row>
    <row r="2" spans="1:10" x14ac:dyDescent="0.4">
      <c r="A2" t="s">
        <v>1</v>
      </c>
      <c r="B2">
        <f t="shared" ref="B2:J2" si="0">B1-18000</f>
        <v>12000</v>
      </c>
      <c r="C2">
        <f t="shared" si="0"/>
        <v>13000</v>
      </c>
      <c r="D2">
        <f t="shared" si="0"/>
        <v>14000</v>
      </c>
      <c r="E2">
        <f t="shared" si="0"/>
        <v>14900</v>
      </c>
      <c r="F2">
        <f t="shared" si="0"/>
        <v>15900</v>
      </c>
      <c r="G2">
        <f t="shared" si="0"/>
        <v>16200</v>
      </c>
      <c r="H2">
        <f t="shared" si="0"/>
        <v>17200</v>
      </c>
      <c r="I2">
        <f t="shared" si="0"/>
        <v>18000</v>
      </c>
      <c r="J2">
        <f t="shared" si="0"/>
        <v>18700</v>
      </c>
    </row>
    <row r="3" spans="1:10" x14ac:dyDescent="0.4">
      <c r="A3" t="s">
        <v>2</v>
      </c>
      <c r="B3" s="1">
        <f t="shared" ref="B3:J3" si="1">B2/1000000000*1501/2 * 1000</f>
        <v>9.0060000000000002</v>
      </c>
      <c r="C3" s="1">
        <f t="shared" si="1"/>
        <v>9.7564999999999991</v>
      </c>
      <c r="D3" s="1">
        <f t="shared" si="1"/>
        <v>10.507</v>
      </c>
      <c r="E3" s="1">
        <f t="shared" si="1"/>
        <v>11.182449999999999</v>
      </c>
      <c r="F3" s="1">
        <f t="shared" si="1"/>
        <v>11.93295</v>
      </c>
      <c r="G3" s="1">
        <f t="shared" si="1"/>
        <v>12.158099999999999</v>
      </c>
      <c r="H3" s="1">
        <f t="shared" si="1"/>
        <v>12.908600000000002</v>
      </c>
      <c r="I3" s="1">
        <f t="shared" si="1"/>
        <v>13.509</v>
      </c>
      <c r="J3" s="1">
        <f t="shared" si="1"/>
        <v>14.034350000000002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93ED-FBC3-43CC-B3E5-F7BBA8277F87}">
  <dimension ref="A1:J3"/>
  <sheetViews>
    <sheetView tabSelected="1" zoomScale="76" zoomScaleNormal="76" workbookViewId="0">
      <selection activeCell="C7" sqref="C7"/>
    </sheetView>
  </sheetViews>
  <sheetFormatPr defaultRowHeight="17.399999999999999" x14ac:dyDescent="0.4"/>
  <cols>
    <col min="1" max="1" width="22.19921875" customWidth="1"/>
    <col min="2" max="2" width="19.69921875" customWidth="1"/>
    <col min="3" max="3" width="16.69921875" customWidth="1"/>
    <col min="4" max="4" width="19.796875" customWidth="1"/>
    <col min="5" max="5" width="19.19921875" customWidth="1"/>
  </cols>
  <sheetData>
    <row r="1" spans="1:10" x14ac:dyDescent="0.4">
      <c r="A1" t="s">
        <v>0</v>
      </c>
      <c r="B1">
        <v>29500</v>
      </c>
      <c r="C1">
        <v>30000</v>
      </c>
      <c r="D1">
        <v>30800</v>
      </c>
      <c r="E1">
        <v>32100</v>
      </c>
      <c r="F1">
        <v>33100</v>
      </c>
      <c r="G1">
        <v>33600</v>
      </c>
      <c r="H1">
        <v>35500</v>
      </c>
      <c r="I1">
        <v>36000</v>
      </c>
      <c r="J1">
        <v>36700</v>
      </c>
    </row>
    <row r="2" spans="1:10" x14ac:dyDescent="0.4">
      <c r="A2" t="s">
        <v>1</v>
      </c>
      <c r="B2">
        <f t="shared" ref="B2:J2" si="0">B1-18000</f>
        <v>11500</v>
      </c>
      <c r="C2">
        <f t="shared" si="0"/>
        <v>12000</v>
      </c>
      <c r="D2">
        <f t="shared" si="0"/>
        <v>12800</v>
      </c>
      <c r="E2">
        <f t="shared" si="0"/>
        <v>14100</v>
      </c>
      <c r="F2">
        <f t="shared" si="0"/>
        <v>15100</v>
      </c>
      <c r="G2">
        <f t="shared" si="0"/>
        <v>15600</v>
      </c>
      <c r="H2">
        <f t="shared" si="0"/>
        <v>17500</v>
      </c>
      <c r="I2">
        <f t="shared" si="0"/>
        <v>18000</v>
      </c>
      <c r="J2">
        <f t="shared" si="0"/>
        <v>18700</v>
      </c>
    </row>
    <row r="3" spans="1:10" x14ac:dyDescent="0.4">
      <c r="A3" t="s">
        <v>2</v>
      </c>
      <c r="B3" s="1">
        <f t="shared" ref="B3:J3" si="1">B2/1000000000*1501/2 * 1000</f>
        <v>8.630749999999999</v>
      </c>
      <c r="C3" s="1">
        <f t="shared" si="1"/>
        <v>9.0060000000000002</v>
      </c>
      <c r="D3" s="1">
        <f t="shared" si="1"/>
        <v>9.6063999999999989</v>
      </c>
      <c r="E3" s="1">
        <f t="shared" si="1"/>
        <v>10.582050000000001</v>
      </c>
      <c r="F3" s="1">
        <f t="shared" si="1"/>
        <v>11.332549999999999</v>
      </c>
      <c r="G3" s="1">
        <f t="shared" si="1"/>
        <v>11.707799999999999</v>
      </c>
      <c r="H3" s="1">
        <f t="shared" si="1"/>
        <v>13.133749999999999</v>
      </c>
      <c r="I3" s="1">
        <f t="shared" si="1"/>
        <v>13.509</v>
      </c>
      <c r="J3" s="1">
        <f t="shared" si="1"/>
        <v>14.034350000000002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A7C3-77D1-4DCA-8D6B-884D2751F22D}">
  <dimension ref="A1:E15"/>
  <sheetViews>
    <sheetView workbookViewId="0">
      <selection activeCell="G9" sqref="G9"/>
    </sheetView>
  </sheetViews>
  <sheetFormatPr defaultRowHeight="17.399999999999999" x14ac:dyDescent="0.4"/>
  <cols>
    <col min="1" max="1" width="16.296875" customWidth="1"/>
    <col min="2" max="2" width="21.3984375" customWidth="1"/>
    <col min="3" max="3" width="18.19921875" customWidth="1"/>
    <col min="4" max="4" width="18.8984375" customWidth="1"/>
    <col min="5" max="5" width="16.8984375" customWidth="1"/>
  </cols>
  <sheetData>
    <row r="1" spans="1:5" ht="28.2" thickBot="1" x14ac:dyDescent="0.4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</row>
    <row r="2" spans="1:5" ht="18" thickBot="1" x14ac:dyDescent="0.4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</row>
    <row r="3" spans="1:5" ht="18" thickBot="1" x14ac:dyDescent="0.45">
      <c r="A3" s="4" t="s">
        <v>13</v>
      </c>
      <c r="B3" s="5" t="s">
        <v>32</v>
      </c>
      <c r="C3" s="5" t="s">
        <v>14</v>
      </c>
      <c r="D3" s="5" t="s">
        <v>15</v>
      </c>
      <c r="E3" s="5" t="s">
        <v>16</v>
      </c>
    </row>
    <row r="4" spans="1:5" ht="28.2" thickBot="1" x14ac:dyDescent="0.45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</row>
    <row r="5" spans="1:5" ht="18" thickBot="1" x14ac:dyDescent="0.45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</row>
    <row r="6" spans="1:5" ht="18" thickBot="1" x14ac:dyDescent="0.45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</row>
    <row r="7" spans="1:5" ht="28.2" thickBot="1" x14ac:dyDescent="0.45">
      <c r="A7" s="4" t="s">
        <v>33</v>
      </c>
      <c r="B7" s="5" t="s">
        <v>34</v>
      </c>
      <c r="C7" s="5" t="s">
        <v>35</v>
      </c>
      <c r="D7" s="5" t="s">
        <v>36</v>
      </c>
      <c r="E7" s="5" t="s">
        <v>37</v>
      </c>
    </row>
    <row r="8" spans="1:5" ht="18" thickBot="1" x14ac:dyDescent="0.45"/>
    <row r="9" spans="1:5" ht="18" thickBot="1" x14ac:dyDescent="0.45">
      <c r="A9" s="2"/>
      <c r="B9" s="2"/>
      <c r="C9" s="2"/>
      <c r="D9" s="2"/>
      <c r="E9" s="2"/>
    </row>
    <row r="10" spans="1:5" ht="18" thickBot="1" x14ac:dyDescent="0.45">
      <c r="A10" s="2"/>
      <c r="B10" s="3"/>
      <c r="C10" s="3"/>
      <c r="D10" s="3"/>
      <c r="E10" s="3"/>
    </row>
    <row r="11" spans="1:5" ht="18" thickBot="1" x14ac:dyDescent="0.45">
      <c r="A11" s="2"/>
      <c r="B11" s="3"/>
      <c r="C11" s="3"/>
      <c r="D11" s="3"/>
      <c r="E11" s="3"/>
    </row>
    <row r="12" spans="1:5" ht="18" thickBot="1" x14ac:dyDescent="0.45">
      <c r="A12" s="2"/>
      <c r="B12" s="3"/>
      <c r="C12" s="3"/>
      <c r="D12" s="3"/>
      <c r="E12" s="3"/>
    </row>
    <row r="13" spans="1:5" ht="18" thickBot="1" x14ac:dyDescent="0.45">
      <c r="A13" s="2"/>
      <c r="B13" s="3"/>
      <c r="C13" s="3"/>
      <c r="D13" s="3"/>
      <c r="E13" s="3"/>
    </row>
    <row r="14" spans="1:5" ht="18" thickBot="1" x14ac:dyDescent="0.45">
      <c r="A14" s="2"/>
      <c r="B14" s="3"/>
      <c r="C14" s="3"/>
      <c r="D14" s="3"/>
      <c r="E14" s="3"/>
    </row>
    <row r="15" spans="1:5" ht="18" thickBot="1" x14ac:dyDescent="0.45">
      <c r="A15" s="2"/>
      <c r="B15" s="2"/>
      <c r="C15" s="2"/>
      <c r="D15" s="2"/>
      <c r="E15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왕복 거리 환산1</vt:lpstr>
      <vt:lpstr>왕복 거리 환산 (온세미)</vt:lpstr>
      <vt:lpstr>물질별 음파 속도, 임피던스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양회현</dc:creator>
  <cp:lastModifiedBy>양회현</cp:lastModifiedBy>
  <dcterms:created xsi:type="dcterms:W3CDTF">2026-08-22T01:39:03Z</dcterms:created>
  <dcterms:modified xsi:type="dcterms:W3CDTF">2026-10-23T03:06:38Z</dcterms:modified>
</cp:coreProperties>
</file>